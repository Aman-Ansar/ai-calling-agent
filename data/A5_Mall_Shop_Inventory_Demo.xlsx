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ll Info" sheetId="1" state="visible" r:id="rId3"/>
    <sheet name="Shop Inventory - A5 Mall" sheetId="2" state="visible" r:id="rId4"/>
    <sheet name="Summary" sheetId="3" state="visible" r:id="rId5"/>
  </sheets>
  <definedNames>
    <definedName function="false" hidden="true" localSheetId="1" name="_xlnm._FilterDatabase" vbProcedure="false">'Shop Inventory - A5 Mall'!$A$4:$H$74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<sst xmlns="http://schemas.openxmlformats.org/spreadsheetml/2006/main" count="434" uniqueCount="156">
  <si>
    <t xml:space="preserve">A5 MALL — PROPERTY INFORMATION (DEMO DATA)</t>
  </si>
  <si>
    <t xml:space="preserve">Reference data for the AI Voice Assistant — used to answer general questions about the mall</t>
  </si>
  <si>
    <t xml:space="preserve">Field</t>
  </si>
  <si>
    <t xml:space="preserve">Details</t>
  </si>
  <si>
    <t xml:space="preserve">Mall Name</t>
  </si>
  <si>
    <t xml:space="preserve">A5 Mall</t>
  </si>
  <si>
    <t xml:space="preserve">Mall Code / ID</t>
  </si>
  <si>
    <t xml:space="preserve">A5</t>
  </si>
  <si>
    <t xml:space="preserve">City / Area</t>
  </si>
  <si>
    <t xml:space="preserve">Shuwaikh</t>
  </si>
  <si>
    <t xml:space="preserve">Full Address</t>
  </si>
  <si>
    <t xml:space="preserve">Block 3, Industrial Area, Shuwaikh, Kuwait City, Kuwait</t>
  </si>
  <si>
    <t xml:space="preserve">Company</t>
  </si>
  <si>
    <t xml:space="preserve">Dar Al Shuwaikh Mall Management</t>
  </si>
  <si>
    <t xml:space="preserve">Total Floors</t>
  </si>
  <si>
    <t xml:space="preserve">2 (Ground Floor, 1st Floor)</t>
  </si>
  <si>
    <t xml:space="preserve">Total Shops</t>
  </si>
  <si>
    <t xml:space="preserve">70 (35 Ground Floor + 35 1st Floor)</t>
  </si>
  <si>
    <t xml:space="preserve">Opening Hours (Sat–Thu)</t>
  </si>
  <si>
    <t xml:space="preserve">10:00 AM – 10:00 PM</t>
  </si>
  <si>
    <t xml:space="preserve">Opening Hours (Friday)</t>
  </si>
  <si>
    <t xml:space="preserve">2:00 PM – 11:00 PM</t>
  </si>
  <si>
    <t xml:space="preserve">Parking</t>
  </si>
  <si>
    <t xml:space="preserve">Available — 400 covered parking spaces, free for visitors</t>
  </si>
  <si>
    <t xml:space="preserve">Prayer Room</t>
  </si>
  <si>
    <t xml:space="preserve">Available on both floors</t>
  </si>
  <si>
    <t xml:space="preserve">Accessibility</t>
  </si>
  <si>
    <t xml:space="preserve">Elevators and ramps available on both floors</t>
  </si>
  <si>
    <t xml:space="preserve">Leasing Office Phone</t>
  </si>
  <si>
    <t xml:space="preserve">+965 2345 6789</t>
  </si>
  <si>
    <t xml:space="preserve">Leasing Office Email</t>
  </si>
  <si>
    <t xml:space="preserve">leasing@daralshuwaikhmall.com</t>
  </si>
  <si>
    <t xml:space="preserve">Duty Manager Phone (Escalations)</t>
  </si>
  <si>
    <t xml:space="preserve">+965 9988 7766</t>
  </si>
  <si>
    <t xml:space="preserve">Customer Service Number</t>
  </si>
  <si>
    <t xml:space="preserve">+965 1800 1234</t>
  </si>
  <si>
    <t xml:space="preserve">Nearby Landmarks</t>
  </si>
  <si>
    <t xml:space="preserve">5 minutes from Shuwaikh Port, opposite Kuwait University (Shuwaikh Campus)</t>
  </si>
  <si>
    <t xml:space="preserve">Anchor / Notable Tenants</t>
  </si>
  <si>
    <t xml:space="preserve">Sample data — populate with real anchor tenants before go-live</t>
  </si>
  <si>
    <t xml:space="preserve">Mall Status</t>
  </si>
  <si>
    <t xml:space="preserve">Active — accepting new shop rental enquiries</t>
  </si>
  <si>
    <t xml:space="preserve">Note: All values above are sample/demo data. Replace with real property details before deployment.</t>
  </si>
  <si>
    <t xml:space="preserve">A5 MALL — SHOP INVENTORY (DEMO DATA)</t>
  </si>
  <si>
    <t xml:space="preserve">Dar Al Shuwaikh | Sample dataset for AI Voice Assistant pilot — 70 shops, Ground &amp; 1st Floor</t>
  </si>
  <si>
    <t xml:space="preserve">Shop No.</t>
  </si>
  <si>
    <t xml:space="preserve">Floor</t>
  </si>
  <si>
    <t xml:space="preserve">Size (sq.ft)</t>
  </si>
  <si>
    <t xml:space="preserve">Suggested Business Category</t>
  </si>
  <si>
    <t xml:space="preserve">Status</t>
  </si>
  <si>
    <t xml:space="preserve">Current Tenant Business Type</t>
  </si>
  <si>
    <t xml:space="preserve">Monthly Rent (KWD)</t>
  </si>
  <si>
    <t xml:space="preserve">Notes</t>
  </si>
  <si>
    <t xml:space="preserve">G-01</t>
  </si>
  <si>
    <t xml:space="preserve">Ground</t>
  </si>
  <si>
    <t xml:space="preserve">Fashion &amp; Apparel</t>
  </si>
  <si>
    <t xml:space="preserve">Available</t>
  </si>
  <si>
    <t xml:space="preserve">-</t>
  </si>
  <si>
    <t xml:space="preserve">Corner unit</t>
  </si>
  <si>
    <t xml:space="preserve">G-02</t>
  </si>
  <si>
    <t xml:space="preserve">Cafe &amp; Bakery</t>
  </si>
  <si>
    <t xml:space="preserve">G-03</t>
  </si>
  <si>
    <t xml:space="preserve">Footwear</t>
  </si>
  <si>
    <t xml:space="preserve">Rented</t>
  </si>
  <si>
    <t xml:space="preserve">G-04</t>
  </si>
  <si>
    <t xml:space="preserve">Supermarket / Grocery</t>
  </si>
  <si>
    <t xml:space="preserve">G-05</t>
  </si>
  <si>
    <t xml:space="preserve">Kids &amp; Toys</t>
  </si>
  <si>
    <t xml:space="preserve">G-06</t>
  </si>
  <si>
    <t xml:space="preserve">Beauty &amp; Cosmetics</t>
  </si>
  <si>
    <t xml:space="preserve">Near main entrance</t>
  </si>
  <si>
    <t xml:space="preserve">G-07</t>
  </si>
  <si>
    <t xml:space="preserve">Jewelry &amp; Watches</t>
  </si>
  <si>
    <t xml:space="preserve">Ready to move in</t>
  </si>
  <si>
    <t xml:space="preserve">G-08</t>
  </si>
  <si>
    <t xml:space="preserve">Optics</t>
  </si>
  <si>
    <t xml:space="preserve">G-09</t>
  </si>
  <si>
    <t xml:space="preserve">Home &amp; Furniture</t>
  </si>
  <si>
    <t xml:space="preserve">G-10</t>
  </si>
  <si>
    <t xml:space="preserve">G-11</t>
  </si>
  <si>
    <t xml:space="preserve">Pharmacy</t>
  </si>
  <si>
    <t xml:space="preserve">G-12</t>
  </si>
  <si>
    <t xml:space="preserve">Sportswear</t>
  </si>
  <si>
    <t xml:space="preserve">G-13</t>
  </si>
  <si>
    <t xml:space="preserve">G-14</t>
  </si>
  <si>
    <t xml:space="preserve">G-15</t>
  </si>
  <si>
    <t xml:space="preserve">Electronics &amp; Mobile</t>
  </si>
  <si>
    <t xml:space="preserve">G-16</t>
  </si>
  <si>
    <t xml:space="preserve">G-17</t>
  </si>
  <si>
    <t xml:space="preserve">G-18</t>
  </si>
  <si>
    <t xml:space="preserve">Bookstore &amp; Stationery</t>
  </si>
  <si>
    <t xml:space="preserve">G-19</t>
  </si>
  <si>
    <t xml:space="preserve">Tailoring</t>
  </si>
  <si>
    <t xml:space="preserve">G-20</t>
  </si>
  <si>
    <t xml:space="preserve">G-21</t>
  </si>
  <si>
    <t xml:space="preserve">Restaurant</t>
  </si>
  <si>
    <t xml:space="preserve">G-22</t>
  </si>
  <si>
    <t xml:space="preserve">G-23</t>
  </si>
  <si>
    <t xml:space="preserve">G-24</t>
  </si>
  <si>
    <t xml:space="preserve">Gifts &amp; Accessories</t>
  </si>
  <si>
    <t xml:space="preserve">G-25</t>
  </si>
  <si>
    <t xml:space="preserve">G-26</t>
  </si>
  <si>
    <t xml:space="preserve">G-27</t>
  </si>
  <si>
    <t xml:space="preserve">G-28</t>
  </si>
  <si>
    <t xml:space="preserve">G-29</t>
  </si>
  <si>
    <t xml:space="preserve">Salon &amp; Spa</t>
  </si>
  <si>
    <t xml:space="preserve">G-30</t>
  </si>
  <si>
    <t xml:space="preserve">G-31</t>
  </si>
  <si>
    <t xml:space="preserve">Photography Studio</t>
  </si>
  <si>
    <t xml:space="preserve">G-32</t>
  </si>
  <si>
    <t xml:space="preserve">Mobile Accessories</t>
  </si>
  <si>
    <t xml:space="preserve">G-33</t>
  </si>
  <si>
    <t xml:space="preserve">G-34</t>
  </si>
  <si>
    <t xml:space="preserve">G-35</t>
  </si>
  <si>
    <t xml:space="preserve">F1-01</t>
  </si>
  <si>
    <t xml:space="preserve">1st Floor</t>
  </si>
  <si>
    <t xml:space="preserve">F1-02</t>
  </si>
  <si>
    <t xml:space="preserve">F1-03</t>
  </si>
  <si>
    <t xml:space="preserve">F1-04</t>
  </si>
  <si>
    <t xml:space="preserve">F1-05</t>
  </si>
  <si>
    <t xml:space="preserve">F1-06</t>
  </si>
  <si>
    <t xml:space="preserve">F1-07</t>
  </si>
  <si>
    <t xml:space="preserve">F1-08</t>
  </si>
  <si>
    <t xml:space="preserve">F1-09</t>
  </si>
  <si>
    <t xml:space="preserve">F1-10</t>
  </si>
  <si>
    <t xml:space="preserve">F1-11</t>
  </si>
  <si>
    <t xml:space="preserve">F1-12</t>
  </si>
  <si>
    <t xml:space="preserve">F1-13</t>
  </si>
  <si>
    <t xml:space="preserve">F1-14</t>
  </si>
  <si>
    <t xml:space="preserve">F1-15</t>
  </si>
  <si>
    <t xml:space="preserve">Perfumes</t>
  </si>
  <si>
    <t xml:space="preserve">F1-16</t>
  </si>
  <si>
    <t xml:space="preserve">F1-17</t>
  </si>
  <si>
    <t xml:space="preserve">F1-18</t>
  </si>
  <si>
    <t xml:space="preserve">F1-19</t>
  </si>
  <si>
    <t xml:space="preserve">F1-20</t>
  </si>
  <si>
    <t xml:space="preserve">F1-21</t>
  </si>
  <si>
    <t xml:space="preserve">F1-22</t>
  </si>
  <si>
    <t xml:space="preserve">F1-23</t>
  </si>
  <si>
    <t xml:space="preserve">F1-24</t>
  </si>
  <si>
    <t xml:space="preserve">F1-25</t>
  </si>
  <si>
    <t xml:space="preserve">F1-26</t>
  </si>
  <si>
    <t xml:space="preserve">F1-27</t>
  </si>
  <si>
    <t xml:space="preserve">Available immediately</t>
  </si>
  <si>
    <t xml:space="preserve">F1-28</t>
  </si>
  <si>
    <t xml:space="preserve">F1-29</t>
  </si>
  <si>
    <t xml:space="preserve">F1-30</t>
  </si>
  <si>
    <t xml:space="preserve">F1-31</t>
  </si>
  <si>
    <t xml:space="preserve">F1-32</t>
  </si>
  <si>
    <t xml:space="preserve">F1-33</t>
  </si>
  <si>
    <t xml:space="preserve">F1-34</t>
  </si>
  <si>
    <t xml:space="preserve">F1-35</t>
  </si>
  <si>
    <t xml:space="preserve">A5 MALL — AVAILABILITY SUMMARY</t>
  </si>
  <si>
    <t xml:space="preserve">TOTAL</t>
  </si>
  <si>
    <t xml:space="preserve">Note: This is sample/demo data generated for the AI Voice Assistant pilot on A5 Mall only.</t>
  </si>
  <si>
    <t xml:space="preserve">Real data (actual shop numbers, tenants, and rents) should replace this before go-live.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</si>
</sst>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7A34"/>
      <name val="Arial"/>
      <family val="0"/>
      <charset val="1"/>
    </font>
    <font>
      <b val="true"/>
      <sz val="10"/>
      <color rgb="FFB91C1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9FAFB"/>
        <bgColor rgb="FFFFFFFF"/>
      </patternFill>
    </fill>
    <fill>
      <patternFill patternType="solid">
        <fgColor rgb="FFE6F4EA"/>
        <bgColor rgb="FFF9FAFB"/>
      </patternFill>
    </fill>
    <fill>
      <patternFill patternType="solid">
        <fgColor rgb="FFFDE8E8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1E7A34"/>
          <bgColor rgb="FF000000"/>
        </patternFill>
      </fill>
    </dxf>
    <dxf>
      <fill>
        <patternFill patternType="solid">
          <fgColor rgb="FFB9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6F4EA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9.7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8" hidden="false" customHeight="true" outlineLevel="0" collapsed="false">
      <c r="A5" s="4" t="s">
        <v>4</v>
      </c>
      <c r="B5" s="5" t="s">
        <v>5</v>
      </c>
    </row>
    <row r="6" customFormat="false" ht="18" hidden="false" customHeight="true" outlineLevel="0" collapsed="false">
      <c r="A6" s="4" t="s">
        <v>6</v>
      </c>
      <c r="B6" s="5" t="s">
        <v>7</v>
      </c>
    </row>
    <row r="7" customFormat="false" ht="18" hidden="false" customHeight="true" outlineLevel="0" collapsed="false">
      <c r="A7" s="4" t="s">
        <v>8</v>
      </c>
      <c r="B7" s="5" t="s">
        <v>9</v>
      </c>
    </row>
    <row r="8" customFormat="false" ht="18" hidden="false" customHeight="true" outlineLevel="0" collapsed="false">
      <c r="A8" s="4" t="s">
        <v>10</v>
      </c>
      <c r="B8" s="5" t="s">
        <v>11</v>
      </c>
    </row>
    <row r="9" customFormat="false" ht="18" hidden="false" customHeight="true" outlineLevel="0" collapsed="false">
      <c r="A9" s="4" t="s">
        <v>12</v>
      </c>
      <c r="B9" s="5" t="s">
        <v>13</v>
      </c>
    </row>
    <row r="10" customFormat="false" ht="18" hidden="false" customHeight="true" outlineLevel="0" collapsed="false">
      <c r="A10" s="4" t="s">
        <v>14</v>
      </c>
      <c r="B10" s="5" t="s">
        <v>15</v>
      </c>
    </row>
    <row r="11" customFormat="false" ht="18" hidden="false" customHeight="true" outlineLevel="0" collapsed="false">
      <c r="A11" s="4" t="s">
        <v>16</v>
      </c>
      <c r="B11" s="5" t="s">
        <v>17</v>
      </c>
    </row>
    <row r="12" customFormat="false" ht="18" hidden="false" customHeight="true" outlineLevel="0" collapsed="false">
      <c r="A12" s="4" t="s">
        <v>18</v>
      </c>
      <c r="B12" s="5" t="s">
        <v>19</v>
      </c>
    </row>
    <row r="13" customFormat="false" ht="18" hidden="false" customHeight="true" outlineLevel="0" collapsed="false">
      <c r="A13" s="4" t="s">
        <v>20</v>
      </c>
      <c r="B13" s="5" t="s">
        <v>21</v>
      </c>
    </row>
    <row r="14" customFormat="false" ht="18" hidden="false" customHeight="true" outlineLevel="0" collapsed="false">
      <c r="A14" s="4" t="s">
        <v>22</v>
      </c>
      <c r="B14" s="5" t="s">
        <v>23</v>
      </c>
    </row>
    <row r="15" customFormat="false" ht="18" hidden="false" customHeight="true" outlineLevel="0" collapsed="false">
      <c r="A15" s="4" t="s">
        <v>24</v>
      </c>
      <c r="B15" s="5" t="s">
        <v>25</v>
      </c>
    </row>
    <row r="16" customFormat="false" ht="18" hidden="false" customHeight="true" outlineLevel="0" collapsed="false">
      <c r="A16" s="4" t="s">
        <v>26</v>
      </c>
      <c r="B16" s="5" t="s">
        <v>27</v>
      </c>
    </row>
    <row r="17" customFormat="false" ht="18" hidden="false" customHeight="true" outlineLevel="0" collapsed="false">
      <c r="A17" s="4" t="s">
        <v>28</v>
      </c>
      <c r="B17" s="5" t="s">
        <v>29</v>
      </c>
    </row>
    <row r="18" customFormat="false" ht="18" hidden="false" customHeight="true" outlineLevel="0" collapsed="false">
      <c r="A18" s="4" t="s">
        <v>30</v>
      </c>
      <c r="B18" s="5" t="s">
        <v>31</v>
      </c>
    </row>
    <row r="19" customFormat="false" ht="18" hidden="false" customHeight="true" outlineLevel="0" collapsed="false">
      <c r="A19" s="4" t="s">
        <v>32</v>
      </c>
      <c r="B19" s="5" t="s">
        <v>33</v>
      </c>
    </row>
    <row r="20" customFormat="false" ht="18" hidden="false" customHeight="true" outlineLevel="0" collapsed="false">
      <c r="A20" s="4" t="s">
        <v>34</v>
      </c>
      <c r="B20" s="5" t="s">
        <v>35</v>
      </c>
    </row>
    <row r="21" customFormat="false" ht="18" hidden="false" customHeight="true" outlineLevel="0" collapsed="false">
      <c r="A21" s="4" t="s">
        <v>36</v>
      </c>
      <c r="B21" s="5" t="s">
        <v>37</v>
      </c>
    </row>
    <row r="22" customFormat="false" ht="18" hidden="false" customHeight="true" outlineLevel="0" collapsed="false">
      <c r="A22" s="4" t="s">
        <v>38</v>
      </c>
      <c r="B22" s="5" t="s">
        <v>39</v>
      </c>
    </row>
    <row r="23" customFormat="false" ht="18" hidden="false" customHeight="true" outlineLevel="0" collapsed="false">
      <c r="A23" s="4" t="s">
        <v>40</v>
      </c>
      <c r="B23" s="5" t="s">
        <v>41</v>
      </c>
    </row>
    <row r="24" customFormat="false" ht="15" hidden="false" customHeight="false" outlineLevel="0" collapsed="false">
      <c r="A24" s="6" t="s">
        <v>42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19.7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</row>
    <row r="5" customFormat="false" ht="15" hidden="false" customHeight="false" outlineLevel="0" collapsed="false">
      <c r="A5" s="7" t="s">
        <v>53</v>
      </c>
      <c r="B5" s="7" t="s">
        <v>54</v>
      </c>
      <c r="C5" s="7" t="n">
        <v>300</v>
      </c>
      <c r="D5" s="5" t="s">
        <v>55</v>
      </c>
      <c r="E5" s="8" t="s">
        <v>56</v>
      </c>
      <c r="F5" s="7" t="s">
        <v>57</v>
      </c>
      <c r="G5" s="7" t="n">
        <v>750</v>
      </c>
      <c r="H5" s="5" t="s">
        <v>58</v>
      </c>
    </row>
    <row r="6" customFormat="false" ht="15" hidden="false" customHeight="false" outlineLevel="0" collapsed="false">
      <c r="A6" s="7" t="s">
        <v>59</v>
      </c>
      <c r="B6" s="7" t="s">
        <v>54</v>
      </c>
      <c r="C6" s="7" t="n">
        <v>350</v>
      </c>
      <c r="D6" s="5" t="s">
        <v>60</v>
      </c>
      <c r="E6" s="8" t="s">
        <v>56</v>
      </c>
      <c r="F6" s="7" t="s">
        <v>57</v>
      </c>
      <c r="G6" s="7" t="n">
        <v>770</v>
      </c>
      <c r="H6" s="5"/>
    </row>
    <row r="7" customFormat="false" ht="15" hidden="false" customHeight="false" outlineLevel="0" collapsed="false">
      <c r="A7" s="7" t="s">
        <v>61</v>
      </c>
      <c r="B7" s="7" t="s">
        <v>54</v>
      </c>
      <c r="C7" s="7" t="n">
        <v>600</v>
      </c>
      <c r="D7" s="5" t="s">
        <v>62</v>
      </c>
      <c r="E7" s="9" t="s">
        <v>63</v>
      </c>
      <c r="F7" s="5" t="s">
        <v>62</v>
      </c>
      <c r="G7" s="7" t="n">
        <v>1500</v>
      </c>
      <c r="H7" s="5"/>
    </row>
    <row r="8" customFormat="false" ht="15" hidden="false" customHeight="false" outlineLevel="0" collapsed="false">
      <c r="A8" s="7" t="s">
        <v>64</v>
      </c>
      <c r="B8" s="7" t="s">
        <v>54</v>
      </c>
      <c r="C8" s="7" t="n">
        <v>400</v>
      </c>
      <c r="D8" s="5" t="s">
        <v>65</v>
      </c>
      <c r="E8" s="8" t="s">
        <v>56</v>
      </c>
      <c r="F8" s="7" t="s">
        <v>57</v>
      </c>
      <c r="G8" s="7" t="n">
        <v>1000</v>
      </c>
      <c r="H8" s="5"/>
    </row>
    <row r="9" customFormat="false" ht="15" hidden="false" customHeight="false" outlineLevel="0" collapsed="false">
      <c r="A9" s="7" t="s">
        <v>66</v>
      </c>
      <c r="B9" s="7" t="s">
        <v>54</v>
      </c>
      <c r="C9" s="7" t="n">
        <v>600</v>
      </c>
      <c r="D9" s="5" t="s">
        <v>67</v>
      </c>
      <c r="E9" s="9" t="s">
        <v>63</v>
      </c>
      <c r="F9" s="5" t="s">
        <v>67</v>
      </c>
      <c r="G9" s="7" t="n">
        <v>1680</v>
      </c>
      <c r="H9" s="5"/>
    </row>
    <row r="10" customFormat="false" ht="15" hidden="false" customHeight="false" outlineLevel="0" collapsed="false">
      <c r="A10" s="7" t="s">
        <v>68</v>
      </c>
      <c r="B10" s="7" t="s">
        <v>54</v>
      </c>
      <c r="C10" s="7" t="n">
        <v>250</v>
      </c>
      <c r="D10" s="5" t="s">
        <v>69</v>
      </c>
      <c r="E10" s="8" t="s">
        <v>56</v>
      </c>
      <c r="F10" s="7" t="s">
        <v>57</v>
      </c>
      <c r="G10" s="7" t="n">
        <v>700</v>
      </c>
      <c r="H10" s="5" t="s">
        <v>70</v>
      </c>
    </row>
    <row r="11" customFormat="false" ht="15" hidden="false" customHeight="false" outlineLevel="0" collapsed="false">
      <c r="A11" s="7" t="s">
        <v>71</v>
      </c>
      <c r="B11" s="7" t="s">
        <v>54</v>
      </c>
      <c r="C11" s="7" t="n">
        <v>350</v>
      </c>
      <c r="D11" s="5" t="s">
        <v>72</v>
      </c>
      <c r="E11" s="8" t="s">
        <v>56</v>
      </c>
      <c r="F11" s="7" t="s">
        <v>57</v>
      </c>
      <c r="G11" s="7" t="n">
        <v>980</v>
      </c>
      <c r="H11" s="5" t="s">
        <v>73</v>
      </c>
    </row>
    <row r="12" customFormat="false" ht="15" hidden="false" customHeight="false" outlineLevel="0" collapsed="false">
      <c r="A12" s="7" t="s">
        <v>74</v>
      </c>
      <c r="B12" s="7" t="s">
        <v>54</v>
      </c>
      <c r="C12" s="7" t="n">
        <v>300</v>
      </c>
      <c r="D12" s="5" t="s">
        <v>75</v>
      </c>
      <c r="E12" s="9" t="s">
        <v>63</v>
      </c>
      <c r="F12" s="5" t="s">
        <v>75</v>
      </c>
      <c r="G12" s="7" t="n">
        <v>840</v>
      </c>
      <c r="H12" s="5"/>
    </row>
    <row r="13" customFormat="false" ht="15" hidden="false" customHeight="false" outlineLevel="0" collapsed="false">
      <c r="A13" s="7" t="s">
        <v>76</v>
      </c>
      <c r="B13" s="7" t="s">
        <v>54</v>
      </c>
      <c r="C13" s="7" t="n">
        <v>1200</v>
      </c>
      <c r="D13" s="5" t="s">
        <v>77</v>
      </c>
      <c r="E13" s="8" t="s">
        <v>56</v>
      </c>
      <c r="F13" s="7" t="s">
        <v>57</v>
      </c>
      <c r="G13" s="7" t="n">
        <v>3600</v>
      </c>
      <c r="H13" s="5"/>
    </row>
    <row r="14" customFormat="false" ht="15" hidden="false" customHeight="false" outlineLevel="0" collapsed="false">
      <c r="A14" s="7" t="s">
        <v>78</v>
      </c>
      <c r="B14" s="7" t="s">
        <v>54</v>
      </c>
      <c r="C14" s="7" t="n">
        <v>300</v>
      </c>
      <c r="D14" s="5" t="s">
        <v>75</v>
      </c>
      <c r="E14" s="9" t="s">
        <v>63</v>
      </c>
      <c r="F14" s="5" t="s">
        <v>75</v>
      </c>
      <c r="G14" s="7" t="n">
        <v>840</v>
      </c>
      <c r="H14" s="5"/>
    </row>
    <row r="15" customFormat="false" ht="15" hidden="false" customHeight="false" outlineLevel="0" collapsed="false">
      <c r="A15" s="7" t="s">
        <v>79</v>
      </c>
      <c r="B15" s="7" t="s">
        <v>54</v>
      </c>
      <c r="C15" s="7" t="n">
        <v>1200</v>
      </c>
      <c r="D15" s="5" t="s">
        <v>80</v>
      </c>
      <c r="E15" s="8" t="s">
        <v>56</v>
      </c>
      <c r="F15" s="7" t="s">
        <v>57</v>
      </c>
      <c r="G15" s="7" t="n">
        <v>2640</v>
      </c>
      <c r="H15" s="5" t="s">
        <v>73</v>
      </c>
    </row>
    <row r="16" customFormat="false" ht="15" hidden="false" customHeight="false" outlineLevel="0" collapsed="false">
      <c r="A16" s="7" t="s">
        <v>81</v>
      </c>
      <c r="B16" s="7" t="s">
        <v>54</v>
      </c>
      <c r="C16" s="7" t="n">
        <v>400</v>
      </c>
      <c r="D16" s="5" t="s">
        <v>82</v>
      </c>
      <c r="E16" s="8" t="s">
        <v>56</v>
      </c>
      <c r="F16" s="7" t="s">
        <v>57</v>
      </c>
      <c r="G16" s="7" t="n">
        <v>1000</v>
      </c>
      <c r="H16" s="5" t="s">
        <v>73</v>
      </c>
    </row>
    <row r="17" customFormat="false" ht="15" hidden="false" customHeight="false" outlineLevel="0" collapsed="false">
      <c r="A17" s="7" t="s">
        <v>83</v>
      </c>
      <c r="B17" s="7" t="s">
        <v>54</v>
      </c>
      <c r="C17" s="7" t="n">
        <v>600</v>
      </c>
      <c r="D17" s="5" t="s">
        <v>77</v>
      </c>
      <c r="E17" s="9" t="s">
        <v>63</v>
      </c>
      <c r="F17" s="5" t="s">
        <v>77</v>
      </c>
      <c r="G17" s="7" t="n">
        <v>1680</v>
      </c>
      <c r="H17" s="5"/>
    </row>
    <row r="18" customFormat="false" ht="15" hidden="false" customHeight="false" outlineLevel="0" collapsed="false">
      <c r="A18" s="7" t="s">
        <v>84</v>
      </c>
      <c r="B18" s="7" t="s">
        <v>54</v>
      </c>
      <c r="C18" s="7" t="n">
        <v>350</v>
      </c>
      <c r="D18" s="5" t="s">
        <v>80</v>
      </c>
      <c r="E18" s="9" t="s">
        <v>63</v>
      </c>
      <c r="F18" s="5" t="s">
        <v>80</v>
      </c>
      <c r="G18" s="7" t="n">
        <v>1260</v>
      </c>
      <c r="H18" s="5"/>
    </row>
    <row r="19" customFormat="false" ht="15" hidden="false" customHeight="false" outlineLevel="0" collapsed="false">
      <c r="A19" s="7" t="s">
        <v>85</v>
      </c>
      <c r="B19" s="7" t="s">
        <v>54</v>
      </c>
      <c r="C19" s="7" t="n">
        <v>450</v>
      </c>
      <c r="D19" s="5" t="s">
        <v>86</v>
      </c>
      <c r="E19" s="8" t="s">
        <v>56</v>
      </c>
      <c r="F19" s="7" t="s">
        <v>57</v>
      </c>
      <c r="G19" s="7" t="n">
        <v>1125</v>
      </c>
      <c r="H19" s="5"/>
    </row>
    <row r="20" customFormat="false" ht="15" hidden="false" customHeight="false" outlineLevel="0" collapsed="false">
      <c r="A20" s="7" t="s">
        <v>87</v>
      </c>
      <c r="B20" s="7" t="s">
        <v>54</v>
      </c>
      <c r="C20" s="7" t="n">
        <v>400</v>
      </c>
      <c r="D20" s="5" t="s">
        <v>69</v>
      </c>
      <c r="E20" s="9" t="s">
        <v>63</v>
      </c>
      <c r="F20" s="5" t="s">
        <v>69</v>
      </c>
      <c r="G20" s="7" t="n">
        <v>1120</v>
      </c>
      <c r="H20" s="5"/>
    </row>
    <row r="21" customFormat="false" ht="15" hidden="false" customHeight="false" outlineLevel="0" collapsed="false">
      <c r="A21" s="7" t="s">
        <v>88</v>
      </c>
      <c r="B21" s="7" t="s">
        <v>54</v>
      </c>
      <c r="C21" s="7" t="n">
        <v>900</v>
      </c>
      <c r="D21" s="5" t="s">
        <v>67</v>
      </c>
      <c r="E21" s="8" t="s">
        <v>56</v>
      </c>
      <c r="F21" s="7" t="s">
        <v>57</v>
      </c>
      <c r="G21" s="7" t="n">
        <v>1980</v>
      </c>
      <c r="H21" s="5" t="s">
        <v>58</v>
      </c>
    </row>
    <row r="22" customFormat="false" ht="15" hidden="false" customHeight="false" outlineLevel="0" collapsed="false">
      <c r="A22" s="7" t="s">
        <v>89</v>
      </c>
      <c r="B22" s="7" t="s">
        <v>54</v>
      </c>
      <c r="C22" s="7" t="n">
        <v>250</v>
      </c>
      <c r="D22" s="5" t="s">
        <v>90</v>
      </c>
      <c r="E22" s="9" t="s">
        <v>63</v>
      </c>
      <c r="F22" s="5" t="s">
        <v>90</v>
      </c>
      <c r="G22" s="7" t="n">
        <v>550</v>
      </c>
      <c r="H22" s="5"/>
    </row>
    <row r="23" customFormat="false" ht="15" hidden="false" customHeight="false" outlineLevel="0" collapsed="false">
      <c r="A23" s="7" t="s">
        <v>91</v>
      </c>
      <c r="B23" s="7" t="s">
        <v>54</v>
      </c>
      <c r="C23" s="7" t="n">
        <v>400</v>
      </c>
      <c r="D23" s="5" t="s">
        <v>92</v>
      </c>
      <c r="E23" s="8" t="s">
        <v>56</v>
      </c>
      <c r="F23" s="7" t="s">
        <v>57</v>
      </c>
      <c r="G23" s="7" t="n">
        <v>1120</v>
      </c>
      <c r="H23" s="5" t="s">
        <v>58</v>
      </c>
    </row>
    <row r="24" customFormat="false" ht="15" hidden="false" customHeight="false" outlineLevel="0" collapsed="false">
      <c r="A24" s="7" t="s">
        <v>93</v>
      </c>
      <c r="B24" s="7" t="s">
        <v>54</v>
      </c>
      <c r="C24" s="7" t="n">
        <v>750</v>
      </c>
      <c r="D24" s="5" t="s">
        <v>75</v>
      </c>
      <c r="E24" s="8" t="s">
        <v>56</v>
      </c>
      <c r="F24" s="7" t="s">
        <v>57</v>
      </c>
      <c r="G24" s="7" t="n">
        <v>2250</v>
      </c>
      <c r="H24" s="5" t="s">
        <v>58</v>
      </c>
    </row>
    <row r="25" customFormat="false" ht="15" hidden="false" customHeight="false" outlineLevel="0" collapsed="false">
      <c r="A25" s="7" t="s">
        <v>94</v>
      </c>
      <c r="B25" s="7" t="s">
        <v>54</v>
      </c>
      <c r="C25" s="7" t="n">
        <v>450</v>
      </c>
      <c r="D25" s="5" t="s">
        <v>95</v>
      </c>
      <c r="E25" s="9" t="s">
        <v>63</v>
      </c>
      <c r="F25" s="5" t="s">
        <v>95</v>
      </c>
      <c r="G25" s="7" t="n">
        <v>1485</v>
      </c>
      <c r="H25" s="5"/>
    </row>
    <row r="26" customFormat="false" ht="15" hidden="false" customHeight="false" outlineLevel="0" collapsed="false">
      <c r="A26" s="7" t="s">
        <v>96</v>
      </c>
      <c r="B26" s="7" t="s">
        <v>54</v>
      </c>
      <c r="C26" s="7" t="n">
        <v>900</v>
      </c>
      <c r="D26" s="5" t="s">
        <v>77</v>
      </c>
      <c r="E26" s="8" t="s">
        <v>56</v>
      </c>
      <c r="F26" s="7" t="s">
        <v>57</v>
      </c>
      <c r="G26" s="7" t="n">
        <v>2700</v>
      </c>
      <c r="H26" s="5"/>
    </row>
    <row r="27" customFormat="false" ht="15" hidden="false" customHeight="false" outlineLevel="0" collapsed="false">
      <c r="A27" s="7" t="s">
        <v>97</v>
      </c>
      <c r="B27" s="7" t="s">
        <v>54</v>
      </c>
      <c r="C27" s="7" t="n">
        <v>600</v>
      </c>
      <c r="D27" s="5" t="s">
        <v>80</v>
      </c>
      <c r="E27" s="9" t="s">
        <v>63</v>
      </c>
      <c r="F27" s="5" t="s">
        <v>80</v>
      </c>
      <c r="G27" s="7" t="n">
        <v>1500</v>
      </c>
      <c r="H27" s="5"/>
    </row>
    <row r="28" customFormat="false" ht="15" hidden="false" customHeight="false" outlineLevel="0" collapsed="false">
      <c r="A28" s="7" t="s">
        <v>98</v>
      </c>
      <c r="B28" s="7" t="s">
        <v>54</v>
      </c>
      <c r="C28" s="7" t="n">
        <v>900</v>
      </c>
      <c r="D28" s="5" t="s">
        <v>99</v>
      </c>
      <c r="E28" s="9" t="s">
        <v>63</v>
      </c>
      <c r="F28" s="5" t="s">
        <v>99</v>
      </c>
      <c r="G28" s="7" t="n">
        <v>1980</v>
      </c>
      <c r="H28" s="5"/>
    </row>
    <row r="29" customFormat="false" ht="15" hidden="false" customHeight="false" outlineLevel="0" collapsed="false">
      <c r="A29" s="7" t="s">
        <v>100</v>
      </c>
      <c r="B29" s="7" t="s">
        <v>54</v>
      </c>
      <c r="C29" s="7" t="n">
        <v>300</v>
      </c>
      <c r="D29" s="5" t="s">
        <v>95</v>
      </c>
      <c r="E29" s="8" t="s">
        <v>56</v>
      </c>
      <c r="F29" s="7" t="s">
        <v>57</v>
      </c>
      <c r="G29" s="7" t="n">
        <v>900</v>
      </c>
      <c r="H29" s="5"/>
    </row>
    <row r="30" customFormat="false" ht="15" hidden="false" customHeight="false" outlineLevel="0" collapsed="false">
      <c r="A30" s="7" t="s">
        <v>101</v>
      </c>
      <c r="B30" s="7" t="s">
        <v>54</v>
      </c>
      <c r="C30" s="7" t="n">
        <v>300</v>
      </c>
      <c r="D30" s="5" t="s">
        <v>75</v>
      </c>
      <c r="E30" s="9" t="s">
        <v>63</v>
      </c>
      <c r="F30" s="5" t="s">
        <v>75</v>
      </c>
      <c r="G30" s="7" t="n">
        <v>900</v>
      </c>
      <c r="H30" s="5"/>
    </row>
    <row r="31" customFormat="false" ht="15" hidden="false" customHeight="false" outlineLevel="0" collapsed="false">
      <c r="A31" s="7" t="s">
        <v>102</v>
      </c>
      <c r="B31" s="7" t="s">
        <v>54</v>
      </c>
      <c r="C31" s="7" t="n">
        <v>900</v>
      </c>
      <c r="D31" s="5" t="s">
        <v>77</v>
      </c>
      <c r="E31" s="8" t="s">
        <v>56</v>
      </c>
      <c r="F31" s="7" t="s">
        <v>57</v>
      </c>
      <c r="G31" s="7" t="n">
        <v>1980</v>
      </c>
      <c r="H31" s="5" t="s">
        <v>73</v>
      </c>
    </row>
    <row r="32" customFormat="false" ht="15" hidden="false" customHeight="false" outlineLevel="0" collapsed="false">
      <c r="A32" s="7" t="s">
        <v>103</v>
      </c>
      <c r="B32" s="7" t="s">
        <v>54</v>
      </c>
      <c r="C32" s="7" t="n">
        <v>900</v>
      </c>
      <c r="D32" s="5" t="s">
        <v>77</v>
      </c>
      <c r="E32" s="8" t="s">
        <v>56</v>
      </c>
      <c r="F32" s="7" t="s">
        <v>57</v>
      </c>
      <c r="G32" s="7" t="n">
        <v>2520</v>
      </c>
      <c r="H32" s="5" t="s">
        <v>73</v>
      </c>
    </row>
    <row r="33" customFormat="false" ht="15" hidden="false" customHeight="false" outlineLevel="0" collapsed="false">
      <c r="A33" s="7" t="s">
        <v>104</v>
      </c>
      <c r="B33" s="7" t="s">
        <v>54</v>
      </c>
      <c r="C33" s="7" t="n">
        <v>450</v>
      </c>
      <c r="D33" s="5" t="s">
        <v>105</v>
      </c>
      <c r="E33" s="9" t="s">
        <v>63</v>
      </c>
      <c r="F33" s="5" t="s">
        <v>105</v>
      </c>
      <c r="G33" s="7" t="n">
        <v>990</v>
      </c>
      <c r="H33" s="5"/>
    </row>
    <row r="34" customFormat="false" ht="15" hidden="false" customHeight="false" outlineLevel="0" collapsed="false">
      <c r="A34" s="7" t="s">
        <v>106</v>
      </c>
      <c r="B34" s="7" t="s">
        <v>54</v>
      </c>
      <c r="C34" s="7" t="n">
        <v>450</v>
      </c>
      <c r="D34" s="5" t="s">
        <v>65</v>
      </c>
      <c r="E34" s="8" t="s">
        <v>56</v>
      </c>
      <c r="F34" s="7" t="s">
        <v>57</v>
      </c>
      <c r="G34" s="7" t="n">
        <v>990</v>
      </c>
      <c r="H34" s="5" t="s">
        <v>70</v>
      </c>
    </row>
    <row r="35" customFormat="false" ht="15" hidden="false" customHeight="false" outlineLevel="0" collapsed="false">
      <c r="A35" s="7" t="s">
        <v>107</v>
      </c>
      <c r="B35" s="7" t="s">
        <v>54</v>
      </c>
      <c r="C35" s="7" t="n">
        <v>900</v>
      </c>
      <c r="D35" s="5" t="s">
        <v>108</v>
      </c>
      <c r="E35" s="9" t="s">
        <v>63</v>
      </c>
      <c r="F35" s="5" t="s">
        <v>108</v>
      </c>
      <c r="G35" s="7" t="n">
        <v>2520</v>
      </c>
      <c r="H35" s="5"/>
    </row>
    <row r="36" customFormat="false" ht="15" hidden="false" customHeight="false" outlineLevel="0" collapsed="false">
      <c r="A36" s="7" t="s">
        <v>109</v>
      </c>
      <c r="B36" s="7" t="s">
        <v>54</v>
      </c>
      <c r="C36" s="7" t="n">
        <v>350</v>
      </c>
      <c r="D36" s="5" t="s">
        <v>110</v>
      </c>
      <c r="E36" s="8" t="s">
        <v>56</v>
      </c>
      <c r="F36" s="7" t="s">
        <v>57</v>
      </c>
      <c r="G36" s="7" t="n">
        <v>770</v>
      </c>
      <c r="H36" s="5"/>
    </row>
    <row r="37" customFormat="false" ht="15" hidden="false" customHeight="false" outlineLevel="0" collapsed="false">
      <c r="A37" s="7" t="s">
        <v>111</v>
      </c>
      <c r="B37" s="7" t="s">
        <v>54</v>
      </c>
      <c r="C37" s="7" t="n">
        <v>500</v>
      </c>
      <c r="D37" s="5" t="s">
        <v>99</v>
      </c>
      <c r="E37" s="9" t="s">
        <v>63</v>
      </c>
      <c r="F37" s="5" t="s">
        <v>99</v>
      </c>
      <c r="G37" s="7" t="n">
        <v>1400</v>
      </c>
      <c r="H37" s="5"/>
    </row>
    <row r="38" customFormat="false" ht="15" hidden="false" customHeight="false" outlineLevel="0" collapsed="false">
      <c r="A38" s="7" t="s">
        <v>112</v>
      </c>
      <c r="B38" s="7" t="s">
        <v>54</v>
      </c>
      <c r="C38" s="7" t="n">
        <v>450</v>
      </c>
      <c r="D38" s="5" t="s">
        <v>67</v>
      </c>
      <c r="E38" s="9" t="s">
        <v>63</v>
      </c>
      <c r="F38" s="5" t="s">
        <v>67</v>
      </c>
      <c r="G38" s="7" t="n">
        <v>1485</v>
      </c>
      <c r="H38" s="5"/>
    </row>
    <row r="39" customFormat="false" ht="15" hidden="false" customHeight="false" outlineLevel="0" collapsed="false">
      <c r="A39" s="7" t="s">
        <v>113</v>
      </c>
      <c r="B39" s="7" t="s">
        <v>54</v>
      </c>
      <c r="C39" s="7" t="n">
        <v>300</v>
      </c>
      <c r="D39" s="5" t="s">
        <v>86</v>
      </c>
      <c r="E39" s="8" t="s">
        <v>56</v>
      </c>
      <c r="F39" s="7" t="s">
        <v>57</v>
      </c>
      <c r="G39" s="7" t="n">
        <v>660</v>
      </c>
      <c r="H39" s="5"/>
    </row>
    <row r="40" customFormat="false" ht="15" hidden="false" customHeight="false" outlineLevel="0" collapsed="false">
      <c r="A40" s="7" t="s">
        <v>114</v>
      </c>
      <c r="B40" s="7" t="s">
        <v>115</v>
      </c>
      <c r="C40" s="7" t="n">
        <v>350</v>
      </c>
      <c r="D40" s="5" t="s">
        <v>95</v>
      </c>
      <c r="E40" s="8" t="s">
        <v>56</v>
      </c>
      <c r="F40" s="7" t="s">
        <v>57</v>
      </c>
      <c r="G40" s="7" t="n">
        <v>875</v>
      </c>
      <c r="H40" s="5" t="s">
        <v>70</v>
      </c>
    </row>
    <row r="41" customFormat="false" ht="15" hidden="false" customHeight="false" outlineLevel="0" collapsed="false">
      <c r="A41" s="7" t="s">
        <v>116</v>
      </c>
      <c r="B41" s="7" t="s">
        <v>115</v>
      </c>
      <c r="C41" s="7" t="n">
        <v>900</v>
      </c>
      <c r="D41" s="5" t="s">
        <v>108</v>
      </c>
      <c r="E41" s="9" t="s">
        <v>63</v>
      </c>
      <c r="F41" s="5" t="s">
        <v>108</v>
      </c>
      <c r="G41" s="7" t="n">
        <v>2250</v>
      </c>
      <c r="H41" s="5"/>
    </row>
    <row r="42" customFormat="false" ht="15" hidden="false" customHeight="false" outlineLevel="0" collapsed="false">
      <c r="A42" s="7" t="s">
        <v>117</v>
      </c>
      <c r="B42" s="7" t="s">
        <v>115</v>
      </c>
      <c r="C42" s="7" t="n">
        <v>900</v>
      </c>
      <c r="D42" s="5" t="s">
        <v>72</v>
      </c>
      <c r="E42" s="8" t="s">
        <v>56</v>
      </c>
      <c r="F42" s="7" t="s">
        <v>57</v>
      </c>
      <c r="G42" s="7" t="n">
        <v>2700</v>
      </c>
      <c r="H42" s="5" t="s">
        <v>70</v>
      </c>
    </row>
    <row r="43" customFormat="false" ht="15" hidden="false" customHeight="false" outlineLevel="0" collapsed="false">
      <c r="A43" s="7" t="s">
        <v>118</v>
      </c>
      <c r="B43" s="7" t="s">
        <v>115</v>
      </c>
      <c r="C43" s="7" t="n">
        <v>750</v>
      </c>
      <c r="D43" s="5" t="s">
        <v>65</v>
      </c>
      <c r="E43" s="9" t="s">
        <v>63</v>
      </c>
      <c r="F43" s="5" t="s">
        <v>65</v>
      </c>
      <c r="G43" s="7" t="n">
        <v>1875</v>
      </c>
      <c r="H43" s="5"/>
    </row>
    <row r="44" customFormat="false" ht="15" hidden="false" customHeight="false" outlineLevel="0" collapsed="false">
      <c r="A44" s="7" t="s">
        <v>119</v>
      </c>
      <c r="B44" s="7" t="s">
        <v>115</v>
      </c>
      <c r="C44" s="7" t="n">
        <v>400</v>
      </c>
      <c r="D44" s="5" t="s">
        <v>86</v>
      </c>
      <c r="E44" s="9" t="s">
        <v>63</v>
      </c>
      <c r="F44" s="5" t="s">
        <v>86</v>
      </c>
      <c r="G44" s="7" t="n">
        <v>1320</v>
      </c>
      <c r="H44" s="5"/>
    </row>
    <row r="45" customFormat="false" ht="15" hidden="false" customHeight="false" outlineLevel="0" collapsed="false">
      <c r="A45" s="7" t="s">
        <v>120</v>
      </c>
      <c r="B45" s="7" t="s">
        <v>115</v>
      </c>
      <c r="C45" s="7" t="n">
        <v>900</v>
      </c>
      <c r="D45" s="5" t="s">
        <v>67</v>
      </c>
      <c r="E45" s="8" t="s">
        <v>56</v>
      </c>
      <c r="F45" s="7" t="s">
        <v>57</v>
      </c>
      <c r="G45" s="7" t="n">
        <v>1980</v>
      </c>
      <c r="H45" s="5" t="s">
        <v>73</v>
      </c>
    </row>
    <row r="46" customFormat="false" ht="15" hidden="false" customHeight="false" outlineLevel="0" collapsed="false">
      <c r="A46" s="7" t="s">
        <v>121</v>
      </c>
      <c r="B46" s="7" t="s">
        <v>115</v>
      </c>
      <c r="C46" s="7" t="n">
        <v>250</v>
      </c>
      <c r="D46" s="5" t="s">
        <v>67</v>
      </c>
      <c r="E46" s="9" t="s">
        <v>63</v>
      </c>
      <c r="F46" s="5" t="s">
        <v>67</v>
      </c>
      <c r="G46" s="7" t="n">
        <v>550</v>
      </c>
      <c r="H46" s="5"/>
    </row>
    <row r="47" customFormat="false" ht="15" hidden="false" customHeight="false" outlineLevel="0" collapsed="false">
      <c r="A47" s="7" t="s">
        <v>122</v>
      </c>
      <c r="B47" s="7" t="s">
        <v>115</v>
      </c>
      <c r="C47" s="7" t="n">
        <v>500</v>
      </c>
      <c r="D47" s="5" t="s">
        <v>86</v>
      </c>
      <c r="E47" s="9" t="s">
        <v>63</v>
      </c>
      <c r="F47" s="5" t="s">
        <v>86</v>
      </c>
      <c r="G47" s="7" t="n">
        <v>1400</v>
      </c>
      <c r="H47" s="5"/>
    </row>
    <row r="48" customFormat="false" ht="15" hidden="false" customHeight="false" outlineLevel="0" collapsed="false">
      <c r="A48" s="7" t="s">
        <v>123</v>
      </c>
      <c r="B48" s="7" t="s">
        <v>115</v>
      </c>
      <c r="C48" s="7" t="n">
        <v>750</v>
      </c>
      <c r="D48" s="5" t="s">
        <v>72</v>
      </c>
      <c r="E48" s="9" t="s">
        <v>63</v>
      </c>
      <c r="F48" s="5" t="s">
        <v>72</v>
      </c>
      <c r="G48" s="7" t="n">
        <v>2700</v>
      </c>
      <c r="H48" s="5"/>
    </row>
    <row r="49" customFormat="false" ht="15" hidden="false" customHeight="false" outlineLevel="0" collapsed="false">
      <c r="A49" s="7" t="s">
        <v>124</v>
      </c>
      <c r="B49" s="7" t="s">
        <v>115</v>
      </c>
      <c r="C49" s="7" t="n">
        <v>1200</v>
      </c>
      <c r="D49" s="5" t="s">
        <v>92</v>
      </c>
      <c r="E49" s="9" t="s">
        <v>63</v>
      </c>
      <c r="F49" s="5" t="s">
        <v>92</v>
      </c>
      <c r="G49" s="7" t="n">
        <v>3600</v>
      </c>
      <c r="H49" s="5"/>
    </row>
    <row r="50" customFormat="false" ht="15" hidden="false" customHeight="false" outlineLevel="0" collapsed="false">
      <c r="A50" s="7" t="s">
        <v>125</v>
      </c>
      <c r="B50" s="7" t="s">
        <v>115</v>
      </c>
      <c r="C50" s="7" t="n">
        <v>600</v>
      </c>
      <c r="D50" s="5" t="s">
        <v>72</v>
      </c>
      <c r="E50" s="9" t="s">
        <v>63</v>
      </c>
      <c r="F50" s="5" t="s">
        <v>72</v>
      </c>
      <c r="G50" s="7" t="n">
        <v>2160</v>
      </c>
      <c r="H50" s="5"/>
    </row>
    <row r="51" customFormat="false" ht="15" hidden="false" customHeight="false" outlineLevel="0" collapsed="false">
      <c r="A51" s="7" t="s">
        <v>126</v>
      </c>
      <c r="B51" s="7" t="s">
        <v>115</v>
      </c>
      <c r="C51" s="7" t="n">
        <v>600</v>
      </c>
      <c r="D51" s="5" t="s">
        <v>80</v>
      </c>
      <c r="E51" s="9" t="s">
        <v>63</v>
      </c>
      <c r="F51" s="5" t="s">
        <v>80</v>
      </c>
      <c r="G51" s="7" t="n">
        <v>1800</v>
      </c>
      <c r="H51" s="5"/>
    </row>
    <row r="52" customFormat="false" ht="15" hidden="false" customHeight="false" outlineLevel="0" collapsed="false">
      <c r="A52" s="7" t="s">
        <v>127</v>
      </c>
      <c r="B52" s="7" t="s">
        <v>115</v>
      </c>
      <c r="C52" s="7" t="n">
        <v>250</v>
      </c>
      <c r="D52" s="5" t="s">
        <v>60</v>
      </c>
      <c r="E52" s="9" t="s">
        <v>63</v>
      </c>
      <c r="F52" s="5" t="s">
        <v>60</v>
      </c>
      <c r="G52" s="7" t="n">
        <v>900</v>
      </c>
      <c r="H52" s="5"/>
    </row>
    <row r="53" customFormat="false" ht="15" hidden="false" customHeight="false" outlineLevel="0" collapsed="false">
      <c r="A53" s="7" t="s">
        <v>128</v>
      </c>
      <c r="B53" s="7" t="s">
        <v>115</v>
      </c>
      <c r="C53" s="7" t="n">
        <v>500</v>
      </c>
      <c r="D53" s="5" t="s">
        <v>60</v>
      </c>
      <c r="E53" s="9" t="s">
        <v>63</v>
      </c>
      <c r="F53" s="5" t="s">
        <v>60</v>
      </c>
      <c r="G53" s="7" t="n">
        <v>1250</v>
      </c>
      <c r="H53" s="5"/>
    </row>
    <row r="54" customFormat="false" ht="15" hidden="false" customHeight="false" outlineLevel="0" collapsed="false">
      <c r="A54" s="7" t="s">
        <v>129</v>
      </c>
      <c r="B54" s="7" t="s">
        <v>115</v>
      </c>
      <c r="C54" s="7" t="n">
        <v>900</v>
      </c>
      <c r="D54" s="5" t="s">
        <v>130</v>
      </c>
      <c r="E54" s="9" t="s">
        <v>63</v>
      </c>
      <c r="F54" s="5" t="s">
        <v>130</v>
      </c>
      <c r="G54" s="7" t="n">
        <v>2250</v>
      </c>
      <c r="H54" s="5"/>
    </row>
    <row r="55" customFormat="false" ht="15" hidden="false" customHeight="false" outlineLevel="0" collapsed="false">
      <c r="A55" s="7" t="s">
        <v>131</v>
      </c>
      <c r="B55" s="7" t="s">
        <v>115</v>
      </c>
      <c r="C55" s="7" t="n">
        <v>450</v>
      </c>
      <c r="D55" s="5" t="s">
        <v>130</v>
      </c>
      <c r="E55" s="9" t="s">
        <v>63</v>
      </c>
      <c r="F55" s="5" t="s">
        <v>130</v>
      </c>
      <c r="G55" s="7" t="n">
        <v>990</v>
      </c>
      <c r="H55" s="5"/>
    </row>
    <row r="56" customFormat="false" ht="15" hidden="false" customHeight="false" outlineLevel="0" collapsed="false">
      <c r="A56" s="7" t="s">
        <v>132</v>
      </c>
      <c r="B56" s="7" t="s">
        <v>115</v>
      </c>
      <c r="C56" s="7" t="n">
        <v>750</v>
      </c>
      <c r="D56" s="5" t="s">
        <v>110</v>
      </c>
      <c r="E56" s="9" t="s">
        <v>63</v>
      </c>
      <c r="F56" s="5" t="s">
        <v>110</v>
      </c>
      <c r="G56" s="7" t="n">
        <v>2700</v>
      </c>
      <c r="H56" s="5"/>
    </row>
    <row r="57" customFormat="false" ht="15" hidden="false" customHeight="false" outlineLevel="0" collapsed="false">
      <c r="A57" s="7" t="s">
        <v>133</v>
      </c>
      <c r="B57" s="7" t="s">
        <v>115</v>
      </c>
      <c r="C57" s="7" t="n">
        <v>900</v>
      </c>
      <c r="D57" s="5" t="s">
        <v>55</v>
      </c>
      <c r="E57" s="8" t="s">
        <v>56</v>
      </c>
      <c r="F57" s="7" t="s">
        <v>57</v>
      </c>
      <c r="G57" s="7" t="n">
        <v>2250</v>
      </c>
      <c r="H57" s="5" t="s">
        <v>58</v>
      </c>
    </row>
    <row r="58" customFormat="false" ht="15" hidden="false" customHeight="false" outlineLevel="0" collapsed="false">
      <c r="A58" s="7" t="s">
        <v>134</v>
      </c>
      <c r="B58" s="7" t="s">
        <v>115</v>
      </c>
      <c r="C58" s="7" t="n">
        <v>600</v>
      </c>
      <c r="D58" s="5" t="s">
        <v>99</v>
      </c>
      <c r="E58" s="9" t="s">
        <v>63</v>
      </c>
      <c r="F58" s="5" t="s">
        <v>99</v>
      </c>
      <c r="G58" s="7" t="n">
        <v>1800</v>
      </c>
      <c r="H58" s="5"/>
    </row>
    <row r="59" customFormat="false" ht="15" hidden="false" customHeight="false" outlineLevel="0" collapsed="false">
      <c r="A59" s="7" t="s">
        <v>135</v>
      </c>
      <c r="B59" s="7" t="s">
        <v>115</v>
      </c>
      <c r="C59" s="7" t="n">
        <v>250</v>
      </c>
      <c r="D59" s="5" t="s">
        <v>69</v>
      </c>
      <c r="E59" s="9" t="s">
        <v>63</v>
      </c>
      <c r="F59" s="5" t="s">
        <v>69</v>
      </c>
      <c r="G59" s="7" t="n">
        <v>750</v>
      </c>
      <c r="H59" s="5"/>
    </row>
    <row r="60" customFormat="false" ht="15" hidden="false" customHeight="false" outlineLevel="0" collapsed="false">
      <c r="A60" s="7" t="s">
        <v>136</v>
      </c>
      <c r="B60" s="7" t="s">
        <v>115</v>
      </c>
      <c r="C60" s="7" t="n">
        <v>450</v>
      </c>
      <c r="D60" s="5" t="s">
        <v>130</v>
      </c>
      <c r="E60" s="9" t="s">
        <v>63</v>
      </c>
      <c r="F60" s="5" t="s">
        <v>130</v>
      </c>
      <c r="G60" s="7" t="n">
        <v>1620</v>
      </c>
      <c r="H60" s="5"/>
    </row>
    <row r="61" customFormat="false" ht="15" hidden="false" customHeight="false" outlineLevel="0" collapsed="false">
      <c r="A61" s="7" t="s">
        <v>137</v>
      </c>
      <c r="B61" s="7" t="s">
        <v>115</v>
      </c>
      <c r="C61" s="7" t="n">
        <v>900</v>
      </c>
      <c r="D61" s="5" t="s">
        <v>99</v>
      </c>
      <c r="E61" s="9" t="s">
        <v>63</v>
      </c>
      <c r="F61" s="5" t="s">
        <v>99</v>
      </c>
      <c r="G61" s="7" t="n">
        <v>2520</v>
      </c>
      <c r="H61" s="5"/>
    </row>
    <row r="62" customFormat="false" ht="15" hidden="false" customHeight="false" outlineLevel="0" collapsed="false">
      <c r="A62" s="7" t="s">
        <v>138</v>
      </c>
      <c r="B62" s="7" t="s">
        <v>115</v>
      </c>
      <c r="C62" s="7" t="n">
        <v>400</v>
      </c>
      <c r="D62" s="5" t="s">
        <v>62</v>
      </c>
      <c r="E62" s="8" t="s">
        <v>56</v>
      </c>
      <c r="F62" s="7" t="s">
        <v>57</v>
      </c>
      <c r="G62" s="7" t="n">
        <v>880</v>
      </c>
      <c r="H62" s="5" t="s">
        <v>70</v>
      </c>
    </row>
    <row r="63" customFormat="false" ht="15" hidden="false" customHeight="false" outlineLevel="0" collapsed="false">
      <c r="A63" s="7" t="s">
        <v>139</v>
      </c>
      <c r="B63" s="7" t="s">
        <v>115</v>
      </c>
      <c r="C63" s="7" t="n">
        <v>250</v>
      </c>
      <c r="D63" s="5" t="s">
        <v>62</v>
      </c>
      <c r="E63" s="8" t="s">
        <v>56</v>
      </c>
      <c r="F63" s="7" t="s">
        <v>57</v>
      </c>
      <c r="G63" s="7" t="n">
        <v>625</v>
      </c>
      <c r="H63" s="5" t="s">
        <v>73</v>
      </c>
    </row>
    <row r="64" customFormat="false" ht="15" hidden="false" customHeight="false" outlineLevel="0" collapsed="false">
      <c r="A64" s="7" t="s">
        <v>140</v>
      </c>
      <c r="B64" s="7" t="s">
        <v>115</v>
      </c>
      <c r="C64" s="7" t="n">
        <v>900</v>
      </c>
      <c r="D64" s="5" t="s">
        <v>86</v>
      </c>
      <c r="E64" s="8" t="s">
        <v>56</v>
      </c>
      <c r="F64" s="7" t="s">
        <v>57</v>
      </c>
      <c r="G64" s="7" t="n">
        <v>1980</v>
      </c>
      <c r="H64" s="5"/>
    </row>
    <row r="65" customFormat="false" ht="15" hidden="false" customHeight="false" outlineLevel="0" collapsed="false">
      <c r="A65" s="7" t="s">
        <v>141</v>
      </c>
      <c r="B65" s="7" t="s">
        <v>115</v>
      </c>
      <c r="C65" s="7" t="n">
        <v>300</v>
      </c>
      <c r="D65" s="5" t="s">
        <v>67</v>
      </c>
      <c r="E65" s="9" t="s">
        <v>63</v>
      </c>
      <c r="F65" s="5" t="s">
        <v>67</v>
      </c>
      <c r="G65" s="7" t="n">
        <v>990</v>
      </c>
      <c r="H65" s="5"/>
    </row>
    <row r="66" customFormat="false" ht="15" hidden="false" customHeight="false" outlineLevel="0" collapsed="false">
      <c r="A66" s="7" t="s">
        <v>142</v>
      </c>
      <c r="B66" s="7" t="s">
        <v>115</v>
      </c>
      <c r="C66" s="7" t="n">
        <v>400</v>
      </c>
      <c r="D66" s="5" t="s">
        <v>92</v>
      </c>
      <c r="E66" s="8" t="s">
        <v>56</v>
      </c>
      <c r="F66" s="7" t="s">
        <v>57</v>
      </c>
      <c r="G66" s="7" t="n">
        <v>880</v>
      </c>
      <c r="H66" s="5" t="s">
        <v>143</v>
      </c>
    </row>
    <row r="67" customFormat="false" ht="15" hidden="false" customHeight="false" outlineLevel="0" collapsed="false">
      <c r="A67" s="7" t="s">
        <v>144</v>
      </c>
      <c r="B67" s="7" t="s">
        <v>115</v>
      </c>
      <c r="C67" s="7" t="n">
        <v>1200</v>
      </c>
      <c r="D67" s="5" t="s">
        <v>92</v>
      </c>
      <c r="E67" s="9" t="s">
        <v>63</v>
      </c>
      <c r="F67" s="5" t="s">
        <v>92</v>
      </c>
      <c r="G67" s="7" t="n">
        <v>3360</v>
      </c>
      <c r="H67" s="5"/>
    </row>
    <row r="68" customFormat="false" ht="15" hidden="false" customHeight="false" outlineLevel="0" collapsed="false">
      <c r="A68" s="7" t="s">
        <v>145</v>
      </c>
      <c r="B68" s="7" t="s">
        <v>115</v>
      </c>
      <c r="C68" s="7" t="n">
        <v>400</v>
      </c>
      <c r="D68" s="5" t="s">
        <v>90</v>
      </c>
      <c r="E68" s="9" t="s">
        <v>63</v>
      </c>
      <c r="F68" s="5" t="s">
        <v>90</v>
      </c>
      <c r="G68" s="7" t="n">
        <v>1200</v>
      </c>
      <c r="H68" s="5"/>
    </row>
    <row r="69" customFormat="false" ht="15" hidden="false" customHeight="false" outlineLevel="0" collapsed="false">
      <c r="A69" s="7" t="s">
        <v>146</v>
      </c>
      <c r="B69" s="7" t="s">
        <v>115</v>
      </c>
      <c r="C69" s="7" t="n">
        <v>350</v>
      </c>
      <c r="D69" s="5" t="s">
        <v>82</v>
      </c>
      <c r="E69" s="9" t="s">
        <v>63</v>
      </c>
      <c r="F69" s="5" t="s">
        <v>82</v>
      </c>
      <c r="G69" s="7" t="n">
        <v>770</v>
      </c>
      <c r="H69" s="5"/>
    </row>
    <row r="70" customFormat="false" ht="15" hidden="false" customHeight="false" outlineLevel="0" collapsed="false">
      <c r="A70" s="7" t="s">
        <v>147</v>
      </c>
      <c r="B70" s="7" t="s">
        <v>115</v>
      </c>
      <c r="C70" s="7" t="n">
        <v>250</v>
      </c>
      <c r="D70" s="5" t="s">
        <v>130</v>
      </c>
      <c r="E70" s="8" t="s">
        <v>56</v>
      </c>
      <c r="F70" s="7" t="s">
        <v>57</v>
      </c>
      <c r="G70" s="7" t="n">
        <v>550</v>
      </c>
      <c r="H70" s="5" t="s">
        <v>73</v>
      </c>
    </row>
    <row r="71" customFormat="false" ht="15" hidden="false" customHeight="false" outlineLevel="0" collapsed="false">
      <c r="A71" s="7" t="s">
        <v>148</v>
      </c>
      <c r="B71" s="7" t="s">
        <v>115</v>
      </c>
      <c r="C71" s="7" t="n">
        <v>900</v>
      </c>
      <c r="D71" s="5" t="s">
        <v>72</v>
      </c>
      <c r="E71" s="9" t="s">
        <v>63</v>
      </c>
      <c r="F71" s="5" t="s">
        <v>72</v>
      </c>
      <c r="G71" s="7" t="n">
        <v>2250</v>
      </c>
      <c r="H71" s="5"/>
    </row>
    <row r="72" customFormat="false" ht="15" hidden="false" customHeight="false" outlineLevel="0" collapsed="false">
      <c r="A72" s="7" t="s">
        <v>149</v>
      </c>
      <c r="B72" s="7" t="s">
        <v>115</v>
      </c>
      <c r="C72" s="7" t="n">
        <v>500</v>
      </c>
      <c r="D72" s="5" t="s">
        <v>86</v>
      </c>
      <c r="E72" s="8" t="s">
        <v>56</v>
      </c>
      <c r="F72" s="7" t="s">
        <v>57</v>
      </c>
      <c r="G72" s="7" t="n">
        <v>1400</v>
      </c>
      <c r="H72" s="5" t="s">
        <v>70</v>
      </c>
    </row>
    <row r="73" customFormat="false" ht="15" hidden="false" customHeight="false" outlineLevel="0" collapsed="false">
      <c r="A73" s="7" t="s">
        <v>150</v>
      </c>
      <c r="B73" s="7" t="s">
        <v>115</v>
      </c>
      <c r="C73" s="7" t="n">
        <v>350</v>
      </c>
      <c r="D73" s="5" t="s">
        <v>130</v>
      </c>
      <c r="E73" s="8" t="s">
        <v>56</v>
      </c>
      <c r="F73" s="7" t="s">
        <v>57</v>
      </c>
      <c r="G73" s="7" t="n">
        <v>980</v>
      </c>
      <c r="H73" s="5"/>
    </row>
    <row r="74" customFormat="false" ht="15" hidden="false" customHeight="false" outlineLevel="0" collapsed="false">
      <c r="A74" s="7" t="s">
        <v>151</v>
      </c>
      <c r="B74" s="7" t="s">
        <v>115</v>
      </c>
      <c r="C74" s="7" t="n">
        <v>900</v>
      </c>
      <c r="D74" s="5" t="s">
        <v>55</v>
      </c>
      <c r="E74" s="8" t="s">
        <v>56</v>
      </c>
      <c r="F74" s="7" t="s">
        <v>57</v>
      </c>
      <c r="G74" s="7" t="n">
        <v>2520</v>
      </c>
      <c r="H74" s="5" t="s">
        <v>73</v>
      </c>
    </row>
  </sheetData>
  <autoFilter ref="A4:H7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152</v>
      </c>
      <c r="B1" s="1"/>
      <c r="C1" s="1"/>
      <c r="D1" s="1"/>
    </row>
    <row r="3" customFormat="false" ht="15" hidden="false" customHeight="false" outlineLevel="0" collapsed="false">
      <c r="A3" s="3" t="s">
        <v>46</v>
      </c>
      <c r="B3" s="3" t="s">
        <v>16</v>
      </c>
      <c r="C3" s="3" t="s">
        <v>63</v>
      </c>
      <c r="D3" s="3" t="s">
        <v>56</v>
      </c>
    </row>
    <row r="4" customFormat="false" ht="15" hidden="false" customHeight="false" outlineLevel="0" collapsed="false">
      <c r="A4" s="7" t="s">
        <v>54</v>
      </c>
      <c r="B4" s="10" t="n">
        <f aca="false">COUNTIF('Shop Inventory - A5 Mall'!B5:B74,"Ground")</f>
        <v>35</v>
      </c>
      <c r="C4" s="10" t="n">
        <f aca="false">COUNTIFS('Shop Inventory - A5 Mall'!B5:B74,"Ground",'Shop Inventory - A5 Mall'!E5:E74,"Rented")</f>
        <v>16</v>
      </c>
      <c r="D4" s="10" t="n">
        <f aca="false">COUNTIFS('Shop Inventory - A5 Mall'!B5:B74,"Ground",'Shop Inventory - A5 Mall'!E5:E74,"Available")</f>
        <v>19</v>
      </c>
    </row>
    <row r="5" customFormat="false" ht="15" hidden="false" customHeight="false" outlineLevel="0" collapsed="false">
      <c r="A5" s="7" t="s">
        <v>115</v>
      </c>
      <c r="B5" s="10" t="n">
        <f aca="false">COUNTIF('Shop Inventory - A5 Mall'!B5:B74,"1st Floor")</f>
        <v>35</v>
      </c>
      <c r="C5" s="10" t="n">
        <f aca="false">COUNTIFS('Shop Inventory - A5 Mall'!B5:B74,"1st Floor",'Shop Inventory - A5 Mall'!E5:E74,"Rented")</f>
        <v>23</v>
      </c>
      <c r="D5" s="10" t="n">
        <f aca="false">COUNTIFS('Shop Inventory - A5 Mall'!B5:B74,"1st Floor",'Shop Inventory - A5 Mall'!E5:E74,"Available")</f>
        <v>12</v>
      </c>
    </row>
    <row r="6" customFormat="false" ht="15" hidden="false" customHeight="false" outlineLevel="0" collapsed="false">
      <c r="A6" s="11" t="s">
        <v>153</v>
      </c>
      <c r="B6" s="11" t="n">
        <f aca="false">SUM(B4:B5)</f>
        <v>70</v>
      </c>
      <c r="C6" s="11" t="n">
        <f aca="false">SUM(C4:C5)</f>
        <v>39</v>
      </c>
      <c r="D6" s="11" t="n">
        <f aca="false">SUM(D4:D5)</f>
        <v>31</v>
      </c>
    </row>
    <row r="8" customFormat="false" ht="15" hidden="false" customHeight="false" outlineLevel="0" collapsed="false">
      <c r="A8" s="6" t="s">
        <v>154</v>
      </c>
    </row>
    <row r="9" customFormat="false" ht="15" hidden="false" customHeight="false" outlineLevel="0" collapsed="false">
      <c r="A9" s="6" t="s">
        <v>155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2026-07-30T10:47:36Z</dcterms:created>
  <dc:creator>openpyxl</dc:creator>
  <dc:description/>
  <dc:language>en-US</dc:language>
  <cp:lastModifiedBy/>
  <dcterms:modified xsi:type="dcterms:W3CDTF">2026-07-30T10:47:36Z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